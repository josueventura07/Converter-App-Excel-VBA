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osue Ventura\Desktop\Aplicaciones Excel con VBA\"/>
    </mc:Choice>
  </mc:AlternateContent>
  <xr:revisionPtr revIDLastSave="0" documentId="13_ncr:1_{E8F8824C-5C53-4FD0-8A69-CCC3EBF45D4C}" xr6:coauthVersionLast="47" xr6:coauthVersionMax="47" xr10:uidLastSave="{00000000-0000-0000-0000-000000000000}"/>
  <bookViews>
    <workbookView xWindow="-120" yWindow="-120" windowWidth="25440" windowHeight="15390" activeTab="2" xr2:uid="{7F75391D-E350-4028-A726-8F066588643D}"/>
  </bookViews>
  <sheets>
    <sheet name="ViewPrint" sheetId="3" r:id="rId1"/>
    <sheet name="New" sheetId="49" r:id="rId2"/>
    <sheet name="Main" sheetId="1" r:id="rId3"/>
    <sheet name="validar_hoja" sheetId="33" r:id="rId4"/>
    <sheet name="validar_usuario" sheetId="34" state="veryHidden" r:id="rId5"/>
    <sheet name="DB" sheetId="2" state="veryHidden" r:id="rId6"/>
  </sheets>
  <functionGroups builtInGroupCount="19"/>
  <definedNames>
    <definedName name="_xlnm.Print_Area" localSheetId="0">ViewPrint!$A$1:$F$69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</calcChain>
</file>

<file path=xl/sharedStrings.xml><?xml version="1.0" encoding="utf-8"?>
<sst xmlns="http://schemas.openxmlformats.org/spreadsheetml/2006/main" count="366" uniqueCount="130">
  <si>
    <t>Código</t>
  </si>
  <si>
    <t>Descripción</t>
  </si>
  <si>
    <t>Sub-grupo</t>
  </si>
  <si>
    <t>UM</t>
  </si>
  <si>
    <t>Factor</t>
  </si>
  <si>
    <t>id</t>
  </si>
  <si>
    <t>RD400</t>
  </si>
  <si>
    <t>RD400 55G-FLO PINK</t>
  </si>
  <si>
    <t>PINTURAS HORNO</t>
  </si>
  <si>
    <t>GRAMOS</t>
  </si>
  <si>
    <t>PINK BB</t>
  </si>
  <si>
    <t>BERZAFLUOR PINK BB</t>
  </si>
  <si>
    <t>BL563</t>
  </si>
  <si>
    <t>BL563 55G FLO BLUE</t>
  </si>
  <si>
    <t>BL6011</t>
  </si>
  <si>
    <t>BLUE/R</t>
  </si>
  <si>
    <t>R903-17</t>
  </si>
  <si>
    <t>VL401</t>
  </si>
  <si>
    <t>N3790</t>
  </si>
  <si>
    <t>R731-15</t>
  </si>
  <si>
    <t>N3737</t>
  </si>
  <si>
    <t>BLACK-30</t>
  </si>
  <si>
    <t>GREEN BT</t>
  </si>
  <si>
    <t>GOLD-YELLOW</t>
  </si>
  <si>
    <t>R910-17</t>
  </si>
  <si>
    <t>N-3307</t>
  </si>
  <si>
    <t>BERZAFLOUR YELLOW BA</t>
  </si>
  <si>
    <t>BEZAPRINT BLACK DW</t>
  </si>
  <si>
    <t>BLUE BB</t>
  </si>
  <si>
    <t>BEZAPRINT MARINO RRM</t>
  </si>
  <si>
    <t>BEZAPRINT BLUE BT</t>
  </si>
  <si>
    <t>Bezaprint Blue BT</t>
  </si>
  <si>
    <t>Bezaprint Marino RRM Horno</t>
  </si>
  <si>
    <t>Bezafluor Blue BB</t>
  </si>
  <si>
    <t>Bezafluor Amarillo BA</t>
  </si>
  <si>
    <t>N-3307-5G Pink 3B</t>
  </si>
  <si>
    <t>Violet BS</t>
  </si>
  <si>
    <t>BEZAFLUOR GREEN BT</t>
  </si>
  <si>
    <t>BLACK 30 5G JET BLACK</t>
  </si>
  <si>
    <t>FLO VIOLET VL401</t>
  </si>
  <si>
    <t>MINT GREEN-VERDE</t>
  </si>
  <si>
    <t>Golden Yellow</t>
  </si>
  <si>
    <t>55G/ROYAL BLUE</t>
  </si>
  <si>
    <t>55G/GREY</t>
  </si>
  <si>
    <t>Turq/F</t>
  </si>
  <si>
    <t>S-8GN</t>
  </si>
  <si>
    <t>S3B 150%</t>
  </si>
  <si>
    <t>ORANGE</t>
  </si>
  <si>
    <t>VB150%</t>
  </si>
  <si>
    <t>BLACK ULTRA DR</t>
  </si>
  <si>
    <t>VRN 150%</t>
  </si>
  <si>
    <t>VIOLET</t>
  </si>
  <si>
    <t>YELLOW S-3R 150%</t>
  </si>
  <si>
    <t>SOD-CIECH</t>
  </si>
  <si>
    <t>SUL-SAL-SOD</t>
  </si>
  <si>
    <t>SARABID MIP</t>
  </si>
  <si>
    <t>ACIDO</t>
  </si>
  <si>
    <t>TUBINGAL 2270</t>
  </si>
  <si>
    <t>SOD-CAU</t>
  </si>
  <si>
    <t>Bezativ Turquesa</t>
  </si>
  <si>
    <t>Bezativ Yellow</t>
  </si>
  <si>
    <t>Bezativ Red</t>
  </si>
  <si>
    <t>Bezativ ORANGE</t>
  </si>
  <si>
    <t>Bezativ Black VB</t>
  </si>
  <si>
    <t>Bezativ Blue</t>
  </si>
  <si>
    <t>Bezativ VIOLET V-5R</t>
  </si>
  <si>
    <t>BEZAKTIV YELLOW Gold</t>
  </si>
  <si>
    <t>Soda Polska ciech</t>
  </si>
  <si>
    <t>Sulfato de Sodio Sal</t>
  </si>
  <si>
    <t>ACIDO ACETICO CONC</t>
  </si>
  <si>
    <t>Soda Cautica</t>
  </si>
  <si>
    <t>PINTURAS REACTIVO</t>
  </si>
  <si>
    <t>DYEWORKS</t>
  </si>
  <si>
    <t>Departamento de Inventarios</t>
  </si>
  <si>
    <t>Cantidad</t>
  </si>
  <si>
    <t>Recibido por</t>
  </si>
  <si>
    <t>Entregado por</t>
  </si>
  <si>
    <t>Fecha</t>
  </si>
  <si>
    <t>FUNDAS</t>
  </si>
  <si>
    <t>COMPONENTE</t>
  </si>
  <si>
    <t>CreatedAt</t>
  </si>
  <si>
    <t>UpdatedAt</t>
  </si>
  <si>
    <t>UNIDAD</t>
  </si>
  <si>
    <t>SBF</t>
  </si>
  <si>
    <t>YL482</t>
  </si>
  <si>
    <t>YL482 55G-FLO YELLOW</t>
  </si>
  <si>
    <t>CS CONC</t>
  </si>
  <si>
    <t>DENIMCOL BINDER GF-C</t>
  </si>
  <si>
    <t>ASUPREND WS</t>
  </si>
  <si>
    <t>FELOSAN</t>
  </si>
  <si>
    <t>NA7227</t>
  </si>
  <si>
    <t>DENICOL WASH SD</t>
  </si>
  <si>
    <t>PRE-TRE-AT</t>
  </si>
  <si>
    <t>ULTRASCAUR LF-OS</t>
  </si>
  <si>
    <t>MRT</t>
  </si>
  <si>
    <t>Quimico Tubilock</t>
  </si>
  <si>
    <t>Denimcol Binder GF-C</t>
  </si>
  <si>
    <t>Asuprend WS (Sustituto Tubilock)</t>
  </si>
  <si>
    <t>WETTING FELOSAN</t>
  </si>
  <si>
    <t>WETTING AGENT</t>
  </si>
  <si>
    <t>DENICOL WASH SD / WETTING</t>
  </si>
  <si>
    <t>PRECAT / REWIN</t>
  </si>
  <si>
    <t>REWIN / PRECAT</t>
  </si>
  <si>
    <t>TAPE CLEAR 3 PULG</t>
  </si>
  <si>
    <t>TAPE CLEAR DE 3 PULGADAS</t>
  </si>
  <si>
    <t>MATERIAL GASTABLE</t>
  </si>
  <si>
    <t>ROLLO</t>
  </si>
  <si>
    <t>TOALLA PRECORT</t>
  </si>
  <si>
    <t>TOALLA PRECORTADA</t>
  </si>
  <si>
    <t>PAPEL HIGIENICO</t>
  </si>
  <si>
    <t>Usuarios</t>
  </si>
  <si>
    <t>Contraseñas</t>
  </si>
  <si>
    <t>Hojas Protegidas</t>
  </si>
  <si>
    <t>ViewPrint</t>
  </si>
  <si>
    <t>Main</t>
  </si>
  <si>
    <t>validar_hoja</t>
  </si>
  <si>
    <t>validar_usuario</t>
  </si>
  <si>
    <t>jahdielventura</t>
  </si>
  <si>
    <t>josueventura</t>
  </si>
  <si>
    <t>danielventura</t>
  </si>
  <si>
    <t>8/2/2023-11:11:24</t>
  </si>
  <si>
    <t>Invoice#</t>
  </si>
  <si>
    <t>8/2/2023-11:14:28</t>
  </si>
  <si>
    <t>Factura No.</t>
  </si>
  <si>
    <t>VACIO</t>
  </si>
  <si>
    <t>JOS-01</t>
  </si>
  <si>
    <t>Vendedor</t>
  </si>
  <si>
    <t>Cliente</t>
  </si>
  <si>
    <t>Cliente:</t>
  </si>
  <si>
    <t>Melquisedec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</si>
</sst>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5"/>
      <color theme="1"/>
      <name val="Times New Roman"/>
      <family val="1"/>
    </font>
    <font>
      <sz val="18"/>
      <color theme="1"/>
      <name val="Comic Sans MS"/>
      <family val="4"/>
    </font>
    <font>
      <b/>
      <sz val="18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/>
    <xf numFmtId="2" fontId="0" fillId="0" borderId="0" xfId="0" applyNumberFormat="1"/>
    <xf numFmtId="14" fontId="0" fillId="0" borderId="0" xfId="0" applyNumberFormat="1"/>
    <xf numFmtId="14" fontId="0" fillId="2" borderId="0" xfId="0" applyNumberFormat="1" applyFill="1"/>
    <xf numFmtId="0" fontId="7" fillId="2" borderId="0" xfId="0" applyFont="1" applyFill="1"/>
    <xf numFmtId="0" fontId="4" fillId="2" borderId="0" xfId="0" applyFont="1" applyFill="1"/>
    <xf numFmtId="0" fontId="4" fillId="2" borderId="0" xfId="0" applyFont="1" applyFill="1" applyAlignment="1">
      <alignment horizont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horizontal="left"/>
    </xf>
    <xf numFmtId="0" fontId="4" fillId="2" borderId="0" xfId="0" applyFont="1" applyFill="1" applyAlignment="1">
      <alignment horizontal="right"/>
    </xf>
    <xf numFmtId="0" fontId="5" fillId="2" borderId="0" xfId="0" applyFont="1" applyFill="1" applyAlignment="1">
      <alignment horizontal="center"/>
    </xf>
    <xf numFmtId="0" fontId="10" fillId="2" borderId="2" xfId="0" applyFont="1" applyFill="1" applyBorder="1"/>
    <xf numFmtId="0" fontId="10" fillId="2" borderId="3" xfId="0" applyFont="1" applyFill="1" applyBorder="1"/>
    <xf numFmtId="0" fontId="10" fillId="2" borderId="2" xfId="0" applyFont="1" applyFill="1" applyBorder="1" applyAlignment="1">
      <alignment horizontal="center"/>
    </xf>
    <xf numFmtId="0" fontId="10" fillId="2" borderId="4" xfId="0" applyFont="1" applyFill="1" applyBorder="1"/>
    <xf numFmtId="0" fontId="8" fillId="2" borderId="0" xfId="0" applyFont="1" applyFill="1"/>
    <xf numFmtId="14" fontId="0" fillId="2" borderId="1" xfId="0" applyNumberFormat="1" applyFill="1" applyBorder="1" applyAlignment="1">
      <alignment horizontal="center"/>
    </xf>
    <xf numFmtId="0" fontId="1" fillId="2" borderId="0" xfId="0" applyFont="1" applyFill="1"/>
    <xf numFmtId="0" fontId="9" fillId="2" borderId="0" xfId="0" applyFont="1" applyFill="1"/>
    <xf numFmtId="0" fontId="9" fillId="2" borderId="0" xfId="0" applyFont="1" applyFill="1" applyAlignment="1">
      <alignment horizontal="center"/>
    </xf>
    <xf numFmtId="2" fontId="9" fillId="2" borderId="0" xfId="0" applyNumberFormat="1" applyFont="1" applyFill="1"/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11" fillId="2" borderId="0" xfId="0" applyFont="1" applyFill="1" applyAlignment="1">
      <alignment horizontal="right"/>
    </xf>
    <xf numFmtId="0" fontId="12" fillId="2" borderId="1" xfId="0" applyFont="1" applyFill="1" applyBorder="1" applyAlignment="1">
      <alignment horizontal="center"/>
    </xf>
    <xf numFmtId="0" fontId="13" fillId="2" borderId="0" xfId="0" applyFont="1" applyFill="1" applyAlignment="1">
      <alignment horizontal="right"/>
    </xf>
  </cellXfs>
  <cellStyles count="1">
    <cellStyle name="Normal" xfId="0" builtinId="0"/>
  </cellStyles>
  <dxfs count="10">
    <dxf>
      <numFmt numFmtId="19" formatCode="d/m/yyyy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</font>
      <numFmt numFmtId="2" formatCode="0.00"/>
    </dxf>
    <dxf>
      <font>
        <b val="0"/>
      </font>
    </dxf>
    <dxf>
      <font>
        <b val="0"/>
      </font>
    </dxf>
    <dxf>
      <font>
        <b val="0"/>
      </font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123825</xdr:rowOff>
        </xdr:from>
        <xdr:to>
          <xdr:col>7</xdr:col>
          <xdr:colOff>419100</xdr:colOff>
          <xdr:row>5</xdr:row>
          <xdr:rowOff>161925</xdr:rowOff>
        </xdr:to>
        <xdr:sp macro="" textlink="">
          <xdr:nvSpPr>
            <xdr:cNvPr id="1025" name="btn_clea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</xdr:row>
          <xdr:rowOff>266700</xdr:rowOff>
        </xdr:from>
        <xdr:to>
          <xdr:col>7</xdr:col>
          <xdr:colOff>409575</xdr:colOff>
          <xdr:row>4</xdr:row>
          <xdr:rowOff>9525</xdr:rowOff>
        </xdr:to>
        <xdr:sp macro="" textlink="">
          <xdr:nvSpPr>
            <xdr:cNvPr id="1027" name="btn_invoiceToMai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</xdr:row>
          <xdr:rowOff>0</xdr:rowOff>
        </xdr:from>
        <xdr:to>
          <xdr:col>7</xdr:col>
          <xdr:colOff>400050</xdr:colOff>
          <xdr:row>6</xdr:row>
          <xdr:rowOff>304800</xdr:rowOff>
        </xdr:to>
        <xdr:sp macro="" textlink="">
          <xdr:nvSpPr>
            <xdr:cNvPr id="1028" name="btn_prin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400050</xdr:colOff>
      <xdr:row>12</xdr:row>
      <xdr:rowOff>171450</xdr:rowOff>
    </xdr:from>
    <xdr:to>
      <xdr:col>2</xdr:col>
      <xdr:colOff>609600</xdr:colOff>
      <xdr:row>12</xdr:row>
      <xdr:rowOff>171450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752475" y="3409950"/>
          <a:ext cx="19621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1971675</xdr:colOff>
      <xdr:row>12</xdr:row>
      <xdr:rowOff>171450</xdr:rowOff>
    </xdr:from>
    <xdr:to>
      <xdr:col>4</xdr:col>
      <xdr:colOff>447675</xdr:colOff>
      <xdr:row>12</xdr:row>
      <xdr:rowOff>171450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4076700" y="3409950"/>
          <a:ext cx="19621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428625</xdr:colOff>
      <xdr:row>4</xdr:row>
      <xdr:rowOff>123825</xdr:rowOff>
    </xdr:from>
    <xdr:to>
      <xdr:col>3</xdr:col>
      <xdr:colOff>600075</xdr:colOff>
      <xdr:row>9</xdr:row>
      <xdr:rowOff>85725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1190625" y="885825"/>
          <a:ext cx="1695450" cy="914400"/>
          <a:chOff x="1247775" y="838200"/>
          <a:chExt cx="1695450" cy="914400"/>
        </a:xfrm>
      </xdr:grpSpPr>
      <xdr:pic macro="[0]!btn_ShowRegisterForm">
        <xdr:nvPicPr>
          <xdr:cNvPr id="3" name="Gráfico 2" descr="Documento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247775" y="838200"/>
            <a:ext cx="914400" cy="914400"/>
          </a:xfrm>
          <a:prstGeom prst="rect">
            <a:avLst/>
          </a:prstGeom>
          <a:ln>
            <a:noFill/>
          </a:ln>
          <a:effectLst>
            <a:glow rad="63500">
              <a:schemeClr val="accent3">
                <a:satMod val="175000"/>
                <a:alpha val="40000"/>
              </a:schemeClr>
            </a:glow>
            <a:outerShdw blurRad="149987" dist="250190" dir="8460000" algn="ctr">
              <a:srgbClr val="000000">
                <a:alpha val="28000"/>
              </a:srgbClr>
            </a:outerShdw>
            <a:reflection blurRad="6350" stA="50000" endA="300" endPos="55500" dist="10160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</xdr:pic>
      <xdr:sp macro="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2066925" y="1133475"/>
            <a:ext cx="876300" cy="485775"/>
          </a:xfrm>
          <a:prstGeom prst="round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s-DO" sz="1100" b="1" i="1"/>
              <a:t>Click en Formulario</a:t>
            </a:r>
          </a:p>
        </xdr:txBody>
      </xdr:sp>
    </xdr:grpSp>
    <xdr:clientData/>
  </xdr:twoCellAnchor>
  <xdr:twoCellAnchor>
    <xdr:from>
      <xdr:col>1</xdr:col>
      <xdr:colOff>285750</xdr:colOff>
      <xdr:row>12</xdr:row>
      <xdr:rowOff>171450</xdr:rowOff>
    </xdr:from>
    <xdr:to>
      <xdr:col>2</xdr:col>
      <xdr:colOff>695325</xdr:colOff>
      <xdr:row>14</xdr:row>
      <xdr:rowOff>76200</xdr:rowOff>
    </xdr:to>
    <xdr:sp macro="[0]!BTN_GO_TO_DB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47750" y="2457450"/>
          <a:ext cx="1171575" cy="285750"/>
        </a:xfrm>
        <a:prstGeom prst="roundRect">
          <a:avLst/>
        </a:prstGeom>
        <a:solidFill>
          <a:schemeClr val="accent2">
            <a:alpha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DO" sz="1100" b="1" i="1">
              <a:solidFill>
                <a:sysClr val="windowText" lastClr="000000"/>
              </a:solidFill>
            </a:rPr>
            <a:t>Go to DB </a:t>
          </a:r>
          <a:r>
            <a:rPr lang="es-DO" sz="1100" b="1" i="1">
              <a:solidFill>
                <a:sysClr val="windowText" lastClr="000000"/>
              </a:solidFill>
              <a:latin typeface="Calibri" panose="020F0502020204030204" pitchFamily="34" charset="0"/>
              <a:cs typeface="Calibri" panose="020F0502020204030204" pitchFamily="34" charset="0"/>
            </a:rPr>
            <a:t>→</a:t>
          </a:r>
          <a:endParaRPr lang="es-DO" sz="1100" b="1" i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16</xdr:row>
          <xdr:rowOff>161925</xdr:rowOff>
        </xdr:from>
        <xdr:to>
          <xdr:col>2</xdr:col>
          <xdr:colOff>676275</xdr:colOff>
          <xdr:row>18</xdr:row>
          <xdr:rowOff>76200</xdr:rowOff>
        </xdr:to>
        <xdr:sp macro="" textlink="">
          <xdr:nvSpPr>
            <xdr:cNvPr id="2049" name="btn_mainToInvoic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14</xdr:row>
          <xdr:rowOff>161925</xdr:rowOff>
        </xdr:from>
        <xdr:to>
          <xdr:col>2</xdr:col>
          <xdr:colOff>685800</xdr:colOff>
          <xdr:row>16</xdr:row>
          <xdr:rowOff>85725</xdr:rowOff>
        </xdr:to>
        <xdr:sp macro="" textlink="">
          <xdr:nvSpPr>
            <xdr:cNvPr id="2050" name="btn_show_db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7</xdr:row>
          <xdr:rowOff>171450</xdr:rowOff>
        </xdr:from>
        <xdr:to>
          <xdr:col>8</xdr:col>
          <xdr:colOff>619125</xdr:colOff>
          <xdr:row>9</xdr:row>
          <xdr:rowOff>152400</xdr:rowOff>
        </xdr:to>
        <xdr:sp macro="" textlink="">
          <xdr:nvSpPr>
            <xdr:cNvPr id="2051" name="btn_prueb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2</xdr:row>
      <xdr:rowOff>57151</xdr:rowOff>
    </xdr:from>
    <xdr:to>
      <xdr:col>9</xdr:col>
      <xdr:colOff>514350</xdr:colOff>
      <xdr:row>2</xdr:row>
      <xdr:rowOff>333375</xdr:rowOff>
    </xdr:to>
    <xdr:sp macro="[0]!BTN_RETURN_TO_MAIN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7943850" y="57151"/>
          <a:ext cx="1162050" cy="276224"/>
        </a:xfrm>
        <a:prstGeom prst="roundRect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DO" sz="1100" b="1" i="1">
              <a:solidFill>
                <a:sysClr val="windowText" lastClr="000000"/>
              </a:solidFill>
              <a:latin typeface="Calibri" panose="020F0502020204030204" pitchFamily="34" charset="0"/>
              <a:cs typeface="Calibri" panose="020F0502020204030204" pitchFamily="34" charset="0"/>
            </a:rPr>
            <a:t>← </a:t>
          </a:r>
          <a:r>
            <a:rPr lang="es-DO" sz="1100" b="1" i="1">
              <a:solidFill>
                <a:sysClr val="windowText" lastClr="000000"/>
              </a:solidFill>
            </a:rPr>
            <a:t>Go to Main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ADCBDB-C779-4A2E-8664-FD1D0DFD4810}" name="INVOICE" displayName="INVOICE" ref="B7:E8" insertRow="1" totalsRowShown="0" headerRowDxfId="9" dataDxfId="8" tableBorderDxfId="7">
  <autoFilter ref="B7:E8" xr:uid="{77ADCBDB-C779-4A2E-8664-FD1D0DFD4810}"/>
  <tableColumns count="4">
    <tableColumn id="1" xr3:uid="{26D89029-76B9-4AFB-93A7-F3BA3B312CCD}" name="Código" dataDxfId="6"/>
    <tableColumn id="2" xr3:uid="{82A4E5B9-807C-4B6B-AA3F-0260CFBE0FD9}" name="Descripción" dataDxfId="5"/>
    <tableColumn id="3" xr3:uid="{ABBFD3D7-EF6F-4C0F-8A3B-6D841FD6C386}" name="UM" dataDxfId="4"/>
    <tableColumn id="4" xr3:uid="{A4DC807D-5E70-44F1-8553-D916103F9EDF}" name="Cantidad" dataDxfId="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96D684C-39F7-44F1-BEA7-27936C15E254}" name="backup" displayName="backup" ref="A1:H40" totalsRowShown="0">
  <autoFilter ref="A1:H40" xr:uid="{596D684C-39F7-44F1-BEA7-27936C15E254}"/>
  <tableColumns count="8">
    <tableColumn id="1" xr3:uid="{DC2E1886-B404-41E2-9880-77F4F0F4AD72}" name="Invoice#"/>
    <tableColumn id="7" xr3:uid="{09DA290C-C7FE-4F2F-97AB-E74E30B302A6}" name="Código"/>
    <tableColumn id="2" xr3:uid="{D87A9C85-E15D-4E0C-8646-F4F475F2993B}" name="Descripción"/>
    <tableColumn id="3" xr3:uid="{367746C6-1D8C-4BAB-B5DB-9E1BFD06C27A}" name="UM"/>
    <tableColumn id="6" xr3:uid="{70479469-4532-426A-98BD-5CC6283AFCE6}" name="Cantidad"/>
    <tableColumn id="5" xr3:uid="{D5CE365C-F99E-419D-8204-7FEA8EE7FBEA}" name="CreatedAt"/>
    <tableColumn id="8" xr3:uid="{4CD86922-CDFD-4554-A901-99219FF10B9C}" name="Cliente" dataDxfId="0"/>
    <tableColumn id="4" xr3:uid="{B177C0B2-C93E-4F00-B400-4CC9327735DA}" name="Vendedo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A477FE1-B0BA-4205-89BD-20E1C03C1E5C}" name="Tabla10" displayName="Tabla10" ref="A3:A8" totalsRowShown="0">
  <autoFilter ref="A3:A8" xr:uid="{0A477FE1-B0BA-4205-89BD-20E1C03C1E5C}"/>
  <tableColumns count="1">
    <tableColumn id="1" xr3:uid="{DAAC013C-A3AF-435E-90E1-FD4F5A5CF670}" name="Hojas Protegid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06D26FB-691C-4B06-BA42-1EBCBA230FD9}" name="USERS_TABLE" displayName="USERS_TABLE" ref="A5:B8" totalsRowShown="0">
  <autoFilter ref="A5:B8" xr:uid="{D06D26FB-691C-4B06-BA42-1EBCBA230FD9}"/>
  <tableColumns count="2">
    <tableColumn id="1" xr3:uid="{B78D074D-5C45-47EC-9CD6-069274A4AE74}" name="Usuarios" dataDxfId="2"/>
    <tableColumn id="2" xr3:uid="{1B767BF7-DA13-4DE5-A69D-829257DADB56}" name="Contraseña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A24C73-4F73-4AA7-9BBE-CC671387BB5D}" name="DB_PROD" displayName="DB_PROD" ref="A3:H51" totalsRowShown="0">
  <autoFilter ref="A3:H51" xr:uid="{61A24C73-4F73-4AA7-9BBE-CC671387BB5D}"/>
  <tableColumns count="8">
    <tableColumn id="1" xr3:uid="{1E61066D-A371-40A3-B8A3-A049080A2002}" name="id" dataDxfId="1"/>
    <tableColumn id="8" xr3:uid="{91239544-D916-4120-9403-6D9AFED13184}" name="Código"/>
    <tableColumn id="2" xr3:uid="{9E72BE2D-C8A0-4E8F-8C44-B883A98BF253}" name="Descripción"/>
    <tableColumn id="3" xr3:uid="{6625F6D3-F2BB-46B2-99E6-1A529058A84C}" name="Sub-grupo"/>
    <tableColumn id="4" xr3:uid="{478D2B15-2FC7-44B8-B9AB-C65C4C55C178}" name="UM"/>
    <tableColumn id="5" xr3:uid="{8E7F2A02-2B1E-4B9A-96D7-CE80532D704C}" name="Factor"/>
    <tableColumn id="6" xr3:uid="{3782B910-D706-4527-8F9A-674A56DE614F}" name="CreatedAt"/>
    <tableColumn id="7" xr3:uid="{2470B597-C3A7-4A1E-84B8-7129AD63DDA9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B859C-EEEA-41E5-A745-7E67080FA2B6}">
  <sheetPr codeName="Hoja3">
    <pageSetUpPr fitToPage="1"/>
  </sheetPr>
  <dimension ref="B1:E14"/>
  <sheetViews>
    <sheetView zoomScaleNormal="100" workbookViewId="0">
      <selection activeCell="C8" sqref="C8"/>
    </sheetView>
  </sheetViews>
  <sheetFormatPr baseColWidth="10" defaultRowHeight="15" x14ac:dyDescent="0.25"/>
  <cols>
    <col min="1" max="1" width="5.28515625" style="1" customWidth="1"/>
    <col min="2" max="2" width="26.28515625" style="1" customWidth="1"/>
    <col min="3" max="3" width="35.5703125" style="1" customWidth="1"/>
    <col min="4" max="4" width="16.7109375" style="1" customWidth="1"/>
    <col min="5" max="5" width="17.7109375" style="1" customWidth="1"/>
    <col min="6" max="6" width="6" style="1" customWidth="1"/>
    <col min="7" max="16384" width="11.42578125" style="1"/>
  </cols>
  <sheetData>
    <row r="1" spans="2:5" ht="30.75" x14ac:dyDescent="0.4">
      <c r="B1" s="25" t="s">
        <v>72</v>
      </c>
      <c r="C1" s="25"/>
      <c r="D1" s="25"/>
      <c r="E1" s="25"/>
    </row>
    <row r="2" spans="2:5" ht="13.5" customHeight="1" x14ac:dyDescent="0.4">
      <c r="B2" s="14"/>
      <c r="C2" s="14"/>
      <c r="D2" s="14"/>
      <c r="E2" s="14"/>
    </row>
    <row r="3" spans="2:5" ht="27" x14ac:dyDescent="0.5">
      <c r="B3" s="26" t="s">
        <v>73</v>
      </c>
      <c r="C3" s="26"/>
      <c r="D3" s="26"/>
      <c r="E3" s="26"/>
    </row>
    <row r="4" spans="2:5" ht="20.25" customHeight="1" x14ac:dyDescent="0.25">
      <c r="B4" s="29" t="s">
        <v>128</v>
      </c>
      <c r="C4" s="28" t="s">
        <v>129</v>
      </c>
      <c r="D4" s="27" t="s">
        <v>123</v>
      </c>
      <c r="E4" s="28" t="s">
        <v>125</v>
      </c>
    </row>
    <row r="5" spans="2:5" ht="23.25" x14ac:dyDescent="0.35">
      <c r="B5" s="8"/>
      <c r="D5" s="13" t="s">
        <v>77</v>
      </c>
      <c r="E5" s="20"/>
    </row>
    <row r="6" spans="2:5" ht="18.75" x14ac:dyDescent="0.3">
      <c r="B6" s="19" t="s">
        <v>124</v>
      </c>
      <c r="D6" s="13"/>
    </row>
    <row r="7" spans="2:5" ht="32.25" customHeight="1" x14ac:dyDescent="0.3">
      <c r="B7" s="15" t="s">
        <v>0</v>
      </c>
      <c r="C7" s="16" t="s">
        <v>1</v>
      </c>
      <c r="D7" s="17" t="s">
        <v>3</v>
      </c>
      <c r="E7" s="18" t="s">
        <v>74</v>
      </c>
    </row>
    <row r="8" spans="2:5" ht="18.75" x14ac:dyDescent="0.3">
      <c r="B8" s="22"/>
      <c r="C8" s="22"/>
      <c r="D8" s="23"/>
      <c r="E8" s="24"/>
    </row>
    <row r="9" spans="2:5" x14ac:dyDescent="0.25">
      <c r="B9" s="13"/>
      <c r="C9" s="9"/>
      <c r="D9" s="10"/>
    </row>
    <row r="14" spans="2:5" x14ac:dyDescent="0.25">
      <c r="B14" s="13" t="s">
        <v>75</v>
      </c>
      <c r="D14" s="10" t="s">
        <v>76</v>
      </c>
    </row>
  </sheetData>
  <sheetProtection sheet="1" objects="1" scenarios="1"/>
  <mergeCells count="2">
    <mergeCell ref="B1:E1"/>
    <mergeCell ref="B3:E3"/>
  </mergeCells>
  <pageMargins left="0.19685039370078741" right="0.19685039370078741" top="0.39370078740157483" bottom="0.39370078740157483" header="0.31496062992125984" footer="0.31496062992125984"/>
  <pageSetup scale="96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btn_print">
          <controlPr defaultSize="0" disabled="1" autoLine="0" r:id="rId5">
            <anchor moveWithCells="1">
              <from>
                <xdr:col>6</xdr:col>
                <xdr:colOff>28575</xdr:colOff>
                <xdr:row>6</xdr:row>
                <xdr:rowOff>0</xdr:rowOff>
              </from>
              <to>
                <xdr:col>7</xdr:col>
                <xdr:colOff>400050</xdr:colOff>
                <xdr:row>6</xdr:row>
                <xdr:rowOff>304800</xdr:rowOff>
              </to>
            </anchor>
          </controlPr>
        </control>
      </mc:Choice>
      <mc:Fallback>
        <control shapeId="1028" r:id="rId4" name="btn_print"/>
      </mc:Fallback>
    </mc:AlternateContent>
    <mc:AlternateContent xmlns:mc="http://schemas.openxmlformats.org/markup-compatibility/2006">
      <mc:Choice Requires="x14">
        <control shapeId="1027" r:id="rId6" name="btn_invoiceToMain">
          <controlPr defaultSize="0" autoLine="0" r:id="rId7">
            <anchor moveWithCells="1">
              <from>
                <xdr:col>6</xdr:col>
                <xdr:colOff>47625</xdr:colOff>
                <xdr:row>2</xdr:row>
                <xdr:rowOff>266700</xdr:rowOff>
              </from>
              <to>
                <xdr:col>7</xdr:col>
                <xdr:colOff>409575</xdr:colOff>
                <xdr:row>4</xdr:row>
                <xdr:rowOff>9525</xdr:rowOff>
              </to>
            </anchor>
          </controlPr>
        </control>
      </mc:Choice>
      <mc:Fallback>
        <control shapeId="1027" r:id="rId6" name="btn_invoiceToMain"/>
      </mc:Fallback>
    </mc:AlternateContent>
    <mc:AlternateContent xmlns:mc="http://schemas.openxmlformats.org/markup-compatibility/2006">
      <mc:Choice Requires="x14">
        <control shapeId="1025" r:id="rId8" name="btn_clean">
          <controlPr defaultSize="0" autoLine="0" r:id="rId9">
            <anchor moveWithCells="1">
              <from>
                <xdr:col>6</xdr:col>
                <xdr:colOff>28575</xdr:colOff>
                <xdr:row>4</xdr:row>
                <xdr:rowOff>123825</xdr:rowOff>
              </from>
              <to>
                <xdr:col>7</xdr:col>
                <xdr:colOff>419100</xdr:colOff>
                <xdr:row>5</xdr:row>
                <xdr:rowOff>161925</xdr:rowOff>
              </to>
            </anchor>
          </controlPr>
        </control>
      </mc:Choice>
      <mc:Fallback>
        <control shapeId="1025" r:id="rId8" name="btn_clean"/>
      </mc:Fallback>
    </mc:AlternateContent>
  </controls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6A924-211E-4B51-9569-ABA1E5B4B897}">
  <sheetPr codeName="Hoja49"/>
  <dimension ref="A1:I42"/>
  <sheetViews>
    <sheetView workbookViewId="0">
      <selection activeCell="A2" sqref="A2"/>
    </sheetView>
  </sheetViews>
  <sheetFormatPr baseColWidth="10" defaultRowHeight="15" x14ac:dyDescent="0.25"/>
  <cols>
    <col min="3" max="3" width="13.42578125" customWidth="1"/>
    <col min="6" max="6" width="19" customWidth="1"/>
    <col min="7" max="7" width="26.28515625" customWidth="1"/>
    <col min="8" max="8" width="17.140625" customWidth="1"/>
  </cols>
  <sheetData>
    <row r="1" spans="1:9" x14ac:dyDescent="0.25">
      <c r="A1" t="s">
        <v>121</v>
      </c>
      <c r="B1" t="s">
        <v>0</v>
      </c>
      <c r="C1" t="s">
        <v>1</v>
      </c>
      <c r="D1" t="s">
        <v>3</v>
      </c>
      <c r="E1" t="s">
        <v>74</v>
      </c>
      <c r="F1" t="s">
        <v>80</v>
      </c>
      <c r="G1" t="s">
        <v>127</v>
      </c>
      <c r="H1" t="s">
        <v>126</v>
      </c>
    </row>
    <row r="2" spans="1:9" x14ac:dyDescent="0.25">
      <c r="B2" t="s">
        <v>86</v>
      </c>
      <c r="C2" t="s">
        <v>95</v>
      </c>
      <c r="D2" t="s">
        <v>9</v>
      </c>
      <c r="E2">
        <v>233.5</v>
      </c>
      <c r="F2" t="s">
        <v>122</v>
      </c>
      <c r="H2" t="s">
        <v>118</v>
      </c>
    </row>
    <row r="3" spans="1:9" x14ac:dyDescent="0.25">
      <c r="B3" t="s">
        <v>86</v>
      </c>
      <c r="C3" t="s">
        <v>95</v>
      </c>
      <c r="D3" t="s">
        <v>9</v>
      </c>
      <c r="E3">
        <v>233.5</v>
      </c>
      <c r="F3" t="s">
        <v>120</v>
      </c>
      <c r="H3" t="s">
        <v>118</v>
      </c>
    </row>
    <row r="4" spans="1:9" x14ac:dyDescent="0.25">
      <c r="B4" t="s">
        <v>103</v>
      </c>
      <c r="C4" t="s">
        <v>104</v>
      </c>
      <c r="D4" t="s">
        <v>106</v>
      </c>
      <c r="E4">
        <v>50</v>
      </c>
      <c r="F4" s="6">
        <v>44965</v>
      </c>
      <c r="G4" s="6"/>
      <c r="H4" t="s">
        <v>119</v>
      </c>
    </row>
    <row r="5" spans="1:9" x14ac:dyDescent="0.25">
      <c r="B5" t="s">
        <v>78</v>
      </c>
      <c r="C5" t="s">
        <v>78</v>
      </c>
      <c r="D5" t="s">
        <v>82</v>
      </c>
      <c r="E5">
        <v>150</v>
      </c>
      <c r="F5" s="6">
        <v>44965</v>
      </c>
      <c r="G5" s="6"/>
      <c r="H5" t="s">
        <v>117</v>
      </c>
    </row>
    <row r="6" spans="1:9" x14ac:dyDescent="0.25">
      <c r="B6" t="s">
        <v>93</v>
      </c>
      <c r="C6" t="s">
        <v>93</v>
      </c>
      <c r="D6" t="s">
        <v>9</v>
      </c>
      <c r="E6">
        <v>226.6</v>
      </c>
      <c r="F6" s="6">
        <v>44965</v>
      </c>
      <c r="G6" s="6"/>
      <c r="H6" t="s">
        <v>117</v>
      </c>
    </row>
    <row r="7" spans="1:9" x14ac:dyDescent="0.25">
      <c r="B7" t="s">
        <v>87</v>
      </c>
      <c r="C7" t="s">
        <v>96</v>
      </c>
      <c r="D7" t="s">
        <v>9</v>
      </c>
      <c r="E7">
        <v>233.5</v>
      </c>
      <c r="F7" s="6">
        <v>44965</v>
      </c>
      <c r="G7" s="6"/>
      <c r="H7" t="s">
        <v>117</v>
      </c>
    </row>
    <row r="8" spans="1:9" x14ac:dyDescent="0.25">
      <c r="B8" t="s">
        <v>107</v>
      </c>
      <c r="C8" t="s">
        <v>108</v>
      </c>
      <c r="D8" t="s">
        <v>106</v>
      </c>
      <c r="E8">
        <v>12</v>
      </c>
      <c r="F8" s="6">
        <v>44965</v>
      </c>
      <c r="G8" s="6"/>
      <c r="H8" t="s">
        <v>117</v>
      </c>
    </row>
    <row r="9" spans="1:9" x14ac:dyDescent="0.25">
      <c r="B9" t="s">
        <v>30</v>
      </c>
      <c r="C9" t="s">
        <v>31</v>
      </c>
      <c r="D9" t="s">
        <v>9</v>
      </c>
      <c r="E9">
        <v>490.52</v>
      </c>
      <c r="F9" s="6">
        <v>44965</v>
      </c>
      <c r="G9" s="6"/>
      <c r="H9" t="s">
        <v>117</v>
      </c>
    </row>
    <row r="10" spans="1:9" x14ac:dyDescent="0.25">
      <c r="B10" t="s">
        <v>6</v>
      </c>
      <c r="C10" t="s">
        <v>7</v>
      </c>
      <c r="D10" t="s">
        <v>9</v>
      </c>
      <c r="E10">
        <v>249.9</v>
      </c>
      <c r="F10" s="6">
        <v>44965</v>
      </c>
      <c r="G10" s="6"/>
      <c r="H10" t="s">
        <v>117</v>
      </c>
    </row>
    <row r="11" spans="1:9" x14ac:dyDescent="0.25">
      <c r="B11" t="s">
        <v>10</v>
      </c>
      <c r="C11" t="s">
        <v>11</v>
      </c>
      <c r="D11" t="s">
        <v>9</v>
      </c>
      <c r="E11">
        <v>1933.4</v>
      </c>
      <c r="F11" s="6">
        <v>44965</v>
      </c>
      <c r="G11" s="6"/>
      <c r="H11" t="s">
        <v>117</v>
      </c>
    </row>
    <row r="12" spans="1:9" x14ac:dyDescent="0.25">
      <c r="B12" t="s">
        <v>12</v>
      </c>
      <c r="C12" t="s">
        <v>13</v>
      </c>
      <c r="D12" t="s">
        <v>9</v>
      </c>
      <c r="E12">
        <v>378</v>
      </c>
      <c r="F12" s="6">
        <v>44965</v>
      </c>
      <c r="G12" s="6"/>
      <c r="H12" t="s">
        <v>117</v>
      </c>
    </row>
    <row r="13" spans="1:9" x14ac:dyDescent="0.25">
      <c r="B13" t="s">
        <v>14</v>
      </c>
      <c r="C13" t="s">
        <v>15</v>
      </c>
      <c r="D13" t="s">
        <v>9</v>
      </c>
      <c r="E13">
        <v>189</v>
      </c>
      <c r="F13" s="6">
        <v>44965</v>
      </c>
      <c r="G13" s="6"/>
      <c r="H13" t="s">
        <v>117</v>
      </c>
      <c r="I13" s="4"/>
    </row>
    <row r="14" spans="1:9" x14ac:dyDescent="0.25">
      <c r="B14" t="s">
        <v>109</v>
      </c>
      <c r="C14" t="s">
        <v>109</v>
      </c>
      <c r="D14" t="s">
        <v>106</v>
      </c>
      <c r="E14">
        <v>1</v>
      </c>
      <c r="F14" s="6">
        <v>44965</v>
      </c>
      <c r="G14" s="6"/>
      <c r="H14" t="s">
        <v>118</v>
      </c>
    </row>
    <row r="15" spans="1:9" x14ac:dyDescent="0.25">
      <c r="B15" t="s">
        <v>89</v>
      </c>
      <c r="C15" t="s">
        <v>98</v>
      </c>
      <c r="D15" t="s">
        <v>9</v>
      </c>
      <c r="E15">
        <v>100000</v>
      </c>
      <c r="F15" s="6">
        <v>44965</v>
      </c>
      <c r="G15" s="6"/>
      <c r="H15" t="s">
        <v>118</v>
      </c>
    </row>
    <row r="16" spans="1:9" x14ac:dyDescent="0.25">
      <c r="B16" t="s">
        <v>109</v>
      </c>
      <c r="C16" t="s">
        <v>109</v>
      </c>
      <c r="D16" t="s">
        <v>106</v>
      </c>
      <c r="E16">
        <v>1</v>
      </c>
      <c r="F16" s="6">
        <v>44965</v>
      </c>
      <c r="G16" s="6"/>
      <c r="H16" t="s">
        <v>118</v>
      </c>
    </row>
    <row r="17" spans="2:7" x14ac:dyDescent="0.25">
      <c r="B17" t="s">
        <v>89</v>
      </c>
      <c r="C17" t="s">
        <v>98</v>
      </c>
      <c r="D17" t="s">
        <v>9</v>
      </c>
      <c r="E17">
        <v>100000</v>
      </c>
      <c r="F17" s="6">
        <v>44965</v>
      </c>
      <c r="G17" s="6"/>
    </row>
    <row r="18" spans="2:7" x14ac:dyDescent="0.25">
      <c r="B18" t="s">
        <v>109</v>
      </c>
      <c r="C18" t="s">
        <v>109</v>
      </c>
      <c r="D18" t="s">
        <v>106</v>
      </c>
      <c r="E18">
        <v>1</v>
      </c>
      <c r="F18" s="6">
        <v>44965</v>
      </c>
      <c r="G18" s="6"/>
    </row>
    <row r="19" spans="2:7" x14ac:dyDescent="0.25">
      <c r="B19" t="s">
        <v>89</v>
      </c>
      <c r="C19" t="s">
        <v>98</v>
      </c>
      <c r="D19" t="s">
        <v>9</v>
      </c>
      <c r="E19">
        <v>100000</v>
      </c>
      <c r="F19" s="6">
        <v>44965</v>
      </c>
      <c r="G19" s="6"/>
    </row>
    <row r="20" spans="2:7" x14ac:dyDescent="0.25">
      <c r="B20" t="s">
        <v>109</v>
      </c>
      <c r="C20" t="s">
        <v>109</v>
      </c>
      <c r="D20" t="s">
        <v>106</v>
      </c>
      <c r="E20">
        <v>1</v>
      </c>
      <c r="F20" s="6">
        <v>44965</v>
      </c>
      <c r="G20" s="6"/>
    </row>
    <row r="21" spans="2:7" x14ac:dyDescent="0.25">
      <c r="B21" t="s">
        <v>89</v>
      </c>
      <c r="C21" t="s">
        <v>98</v>
      </c>
      <c r="D21" t="s">
        <v>9</v>
      </c>
      <c r="E21">
        <v>100000</v>
      </c>
      <c r="F21" s="6">
        <v>44965</v>
      </c>
      <c r="G21" s="6"/>
    </row>
    <row r="22" spans="2:7" x14ac:dyDescent="0.25">
      <c r="B22" t="s">
        <v>109</v>
      </c>
      <c r="C22" t="s">
        <v>109</v>
      </c>
      <c r="D22" t="s">
        <v>106</v>
      </c>
      <c r="E22">
        <v>1</v>
      </c>
      <c r="F22" s="6">
        <v>44965</v>
      </c>
      <c r="G22" s="6"/>
    </row>
    <row r="23" spans="2:7" x14ac:dyDescent="0.25">
      <c r="B23" t="s">
        <v>89</v>
      </c>
      <c r="C23" t="s">
        <v>98</v>
      </c>
      <c r="D23" t="s">
        <v>9</v>
      </c>
      <c r="E23">
        <v>100000</v>
      </c>
      <c r="F23" s="6">
        <v>44965</v>
      </c>
      <c r="G23" s="6"/>
    </row>
    <row r="24" spans="2:7" x14ac:dyDescent="0.25">
      <c r="B24" t="s">
        <v>109</v>
      </c>
      <c r="C24" t="s">
        <v>109</v>
      </c>
      <c r="D24" t="s">
        <v>106</v>
      </c>
      <c r="E24">
        <v>1</v>
      </c>
      <c r="F24" s="6">
        <v>44965</v>
      </c>
      <c r="G24" s="6"/>
    </row>
    <row r="25" spans="2:7" x14ac:dyDescent="0.25">
      <c r="B25" t="s">
        <v>89</v>
      </c>
      <c r="C25" t="s">
        <v>98</v>
      </c>
      <c r="D25" t="s">
        <v>9</v>
      </c>
      <c r="E25">
        <v>100000</v>
      </c>
      <c r="F25" s="6">
        <v>44965</v>
      </c>
      <c r="G25" s="6"/>
    </row>
    <row r="26" spans="2:7" x14ac:dyDescent="0.25">
      <c r="B26" t="s">
        <v>109</v>
      </c>
      <c r="C26" t="s">
        <v>109</v>
      </c>
      <c r="D26" t="s">
        <v>106</v>
      </c>
      <c r="E26">
        <v>1</v>
      </c>
      <c r="F26" s="6">
        <v>44965</v>
      </c>
      <c r="G26" s="6"/>
    </row>
    <row r="27" spans="2:7" x14ac:dyDescent="0.25">
      <c r="B27" t="s">
        <v>89</v>
      </c>
      <c r="C27" t="s">
        <v>98</v>
      </c>
      <c r="D27" t="s">
        <v>9</v>
      </c>
      <c r="E27">
        <v>100000</v>
      </c>
      <c r="F27" s="6">
        <v>44965</v>
      </c>
      <c r="G27" s="6"/>
    </row>
    <row r="28" spans="2:7" x14ac:dyDescent="0.25">
      <c r="B28" t="s">
        <v>109</v>
      </c>
      <c r="C28" t="s">
        <v>109</v>
      </c>
      <c r="D28" t="s">
        <v>106</v>
      </c>
      <c r="E28">
        <v>1</v>
      </c>
      <c r="F28" s="6">
        <v>44965</v>
      </c>
      <c r="G28" s="6"/>
    </row>
    <row r="29" spans="2:7" x14ac:dyDescent="0.25">
      <c r="B29" t="s">
        <v>89</v>
      </c>
      <c r="C29" t="s">
        <v>98</v>
      </c>
      <c r="D29" t="s">
        <v>9</v>
      </c>
      <c r="E29">
        <v>100000</v>
      </c>
      <c r="F29" s="6">
        <v>44965</v>
      </c>
      <c r="G29" s="6"/>
    </row>
    <row r="30" spans="2:7" x14ac:dyDescent="0.25">
      <c r="B30" t="s">
        <v>109</v>
      </c>
      <c r="C30" t="s">
        <v>109</v>
      </c>
      <c r="D30" t="s">
        <v>106</v>
      </c>
      <c r="E30">
        <v>1</v>
      </c>
      <c r="F30" s="6">
        <v>44965</v>
      </c>
      <c r="G30" s="6"/>
    </row>
    <row r="31" spans="2:7" x14ac:dyDescent="0.25">
      <c r="B31" t="s">
        <v>89</v>
      </c>
      <c r="C31" t="s">
        <v>98</v>
      </c>
      <c r="D31" t="s">
        <v>9</v>
      </c>
      <c r="E31">
        <v>100000</v>
      </c>
      <c r="F31" s="6">
        <v>44965</v>
      </c>
      <c r="G31" s="6"/>
    </row>
    <row r="32" spans="2:7" x14ac:dyDescent="0.25">
      <c r="B32" t="s">
        <v>109</v>
      </c>
      <c r="C32" t="s">
        <v>109</v>
      </c>
      <c r="D32" t="s">
        <v>106</v>
      </c>
      <c r="E32">
        <v>1</v>
      </c>
      <c r="F32" s="6">
        <v>44965</v>
      </c>
      <c r="G32" s="6"/>
    </row>
    <row r="33" spans="2:7" x14ac:dyDescent="0.25">
      <c r="B33" t="s">
        <v>89</v>
      </c>
      <c r="C33" t="s">
        <v>98</v>
      </c>
      <c r="D33" t="s">
        <v>9</v>
      </c>
      <c r="E33">
        <v>100000</v>
      </c>
      <c r="F33" s="6">
        <v>44965</v>
      </c>
      <c r="G33" s="6"/>
    </row>
    <row r="34" spans="2:7" x14ac:dyDescent="0.25">
      <c r="B34" t="s">
        <v>109</v>
      </c>
      <c r="C34" t="s">
        <v>109</v>
      </c>
      <c r="D34" t="s">
        <v>106</v>
      </c>
      <c r="E34">
        <v>1</v>
      </c>
      <c r="F34" s="6">
        <v>44965</v>
      </c>
      <c r="G34" s="6"/>
    </row>
    <row r="35" spans="2:7" x14ac:dyDescent="0.25">
      <c r="B35" t="s">
        <v>89</v>
      </c>
      <c r="C35" t="s">
        <v>98</v>
      </c>
      <c r="D35" t="s">
        <v>9</v>
      </c>
      <c r="E35">
        <v>100000</v>
      </c>
      <c r="F35" s="6">
        <v>44965</v>
      </c>
      <c r="G35" s="6"/>
    </row>
    <row r="36" spans="2:7" x14ac:dyDescent="0.25">
      <c r="B36" t="s">
        <v>109</v>
      </c>
      <c r="C36" t="s">
        <v>109</v>
      </c>
      <c r="D36" t="s">
        <v>106</v>
      </c>
      <c r="E36">
        <v>1</v>
      </c>
      <c r="F36" s="6">
        <v>44965</v>
      </c>
      <c r="G36" s="6"/>
    </row>
    <row r="37" spans="2:7" x14ac:dyDescent="0.25">
      <c r="B37" t="s">
        <v>89</v>
      </c>
      <c r="C37" t="s">
        <v>98</v>
      </c>
      <c r="D37" t="s">
        <v>9</v>
      </c>
      <c r="E37">
        <v>100000</v>
      </c>
      <c r="F37" s="6">
        <v>44965</v>
      </c>
      <c r="G37" s="6"/>
    </row>
    <row r="38" spans="2:7" x14ac:dyDescent="0.25">
      <c r="B38" t="s">
        <v>109</v>
      </c>
      <c r="C38" t="s">
        <v>109</v>
      </c>
      <c r="D38" t="s">
        <v>106</v>
      </c>
      <c r="E38">
        <v>1</v>
      </c>
      <c r="F38" s="6">
        <v>44965</v>
      </c>
      <c r="G38" s="6"/>
    </row>
    <row r="39" spans="2:7" x14ac:dyDescent="0.25">
      <c r="B39" t="s">
        <v>89</v>
      </c>
      <c r="C39" t="s">
        <v>98</v>
      </c>
      <c r="D39" t="s">
        <v>9</v>
      </c>
      <c r="E39">
        <v>100000</v>
      </c>
      <c r="F39" s="6">
        <v>44965</v>
      </c>
      <c r="G39" s="6"/>
    </row>
    <row r="40" spans="2:7" x14ac:dyDescent="0.25">
      <c r="B40" t="s">
        <v>109</v>
      </c>
      <c r="C40" t="s">
        <v>109</v>
      </c>
      <c r="D40" t="s">
        <v>106</v>
      </c>
      <c r="E40">
        <v>1</v>
      </c>
      <c r="F40" s="6">
        <v>44965</v>
      </c>
      <c r="G40" s="6"/>
    </row>
    <row r="41" spans="2:7" x14ac:dyDescent="0.25">
      <c r="F41" s="6"/>
      <c r="G41" s="6"/>
    </row>
    <row r="42" spans="2:7" x14ac:dyDescent="0.25">
      <c r="F42" s="6"/>
      <c r="G42" s="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153E0-6D74-4F86-9DC8-DFF7B057D726}">
  <sheetPr codeName="Hoja1"/>
  <dimension ref="E12:K29"/>
  <sheetViews>
    <sheetView tabSelected="1" workbookViewId="0">
      <selection activeCell="H14" sqref="H14"/>
    </sheetView>
  </sheetViews>
  <sheetFormatPr baseColWidth="10" defaultRowHeight="15" x14ac:dyDescent="0.25"/>
  <cols>
    <col min="1" max="16384" width="11.42578125" style="1"/>
  </cols>
  <sheetData>
    <row r="12" spans="11:11" x14ac:dyDescent="0.25">
      <c r="K12" s="7"/>
    </row>
    <row r="23" spans="5:8" x14ac:dyDescent="0.25">
      <c r="H23" s="21"/>
    </row>
    <row r="29" spans="5:8" x14ac:dyDescent="0.25">
      <c r="E29" s="2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btn_show_db">
          <controlPr defaultSize="0" autoLine="0" r:id="rId5">
            <anchor moveWithCells="1">
              <from>
                <xdr:col>1</xdr:col>
                <xdr:colOff>285750</xdr:colOff>
                <xdr:row>14</xdr:row>
                <xdr:rowOff>161925</xdr:rowOff>
              </from>
              <to>
                <xdr:col>2</xdr:col>
                <xdr:colOff>685800</xdr:colOff>
                <xdr:row>16</xdr:row>
                <xdr:rowOff>85725</xdr:rowOff>
              </to>
            </anchor>
          </controlPr>
        </control>
      </mc:Choice>
      <mc:Fallback>
        <control shapeId="2050" r:id="rId4" name="btn_show_db"/>
      </mc:Fallback>
    </mc:AlternateContent>
    <mc:AlternateContent xmlns:mc="http://schemas.openxmlformats.org/markup-compatibility/2006">
      <mc:Choice Requires="x14">
        <control shapeId="2049" r:id="rId6" name="btn_mainToInvoice">
          <controlPr defaultSize="0" autoLine="0" r:id="rId7">
            <anchor moveWithCells="1">
              <from>
                <xdr:col>1</xdr:col>
                <xdr:colOff>276225</xdr:colOff>
                <xdr:row>16</xdr:row>
                <xdr:rowOff>161925</xdr:rowOff>
              </from>
              <to>
                <xdr:col>2</xdr:col>
                <xdr:colOff>676275</xdr:colOff>
                <xdr:row>18</xdr:row>
                <xdr:rowOff>76200</xdr:rowOff>
              </to>
            </anchor>
          </controlPr>
        </control>
      </mc:Choice>
      <mc:Fallback>
        <control shapeId="2049" r:id="rId6" name="btn_mainToInvoice"/>
      </mc:Fallback>
    </mc:AlternateContent>
    <mc:AlternateContent xmlns:mc="http://schemas.openxmlformats.org/markup-compatibility/2006">
      <mc:Choice Requires="x14">
        <control shapeId="2051" r:id="rId8" name="btn_prueba">
          <controlPr defaultSize="0" autoLine="0" r:id="rId9">
            <anchor moveWithCells="1">
              <from>
                <xdr:col>7</xdr:col>
                <xdr:colOff>114300</xdr:colOff>
                <xdr:row>7</xdr:row>
                <xdr:rowOff>171450</xdr:rowOff>
              </from>
              <to>
                <xdr:col>8</xdr:col>
                <xdr:colOff>619125</xdr:colOff>
                <xdr:row>9</xdr:row>
                <xdr:rowOff>152400</xdr:rowOff>
              </to>
            </anchor>
          </controlPr>
        </control>
      </mc:Choice>
      <mc:Fallback>
        <control shapeId="2051" r:id="rId8" name="btn_prueb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C3D9B-4A48-40C0-9C47-929E0CD1EF57}">
  <sheetPr codeName="Hoja33"/>
  <dimension ref="A3:A7"/>
  <sheetViews>
    <sheetView workbookViewId="0">
      <selection activeCell="H21" sqref="H21"/>
    </sheetView>
  </sheetViews>
  <sheetFormatPr baseColWidth="10" defaultRowHeight="15" x14ac:dyDescent="0.25"/>
  <cols>
    <col min="1" max="1" width="17.85546875" customWidth="1"/>
  </cols>
  <sheetData>
    <row r="3" spans="1:1" x14ac:dyDescent="0.25">
      <c r="A3" t="s">
        <v>112</v>
      </c>
    </row>
    <row r="4" spans="1:1" x14ac:dyDescent="0.25">
      <c r="A4" t="s">
        <v>113</v>
      </c>
    </row>
    <row r="5" spans="1:1" x14ac:dyDescent="0.25">
      <c r="A5" t="s">
        <v>114</v>
      </c>
    </row>
    <row r="6" spans="1:1" x14ac:dyDescent="0.25">
      <c r="A6" t="s">
        <v>115</v>
      </c>
    </row>
    <row r="7" spans="1:1" x14ac:dyDescent="0.25">
      <c r="A7" t="s">
        <v>116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5767B-EEF4-46A3-8E1D-6C06A00CDA7E}">
  <sheetPr codeName="Hoja34"/>
  <dimension ref="A5:B8"/>
  <sheetViews>
    <sheetView workbookViewId="0">
      <selection activeCell="A7" sqref="A7"/>
    </sheetView>
  </sheetViews>
  <sheetFormatPr baseColWidth="10" defaultRowHeight="15" x14ac:dyDescent="0.25"/>
  <cols>
    <col min="1" max="1" width="14.42578125" customWidth="1"/>
    <col min="2" max="2" width="14" customWidth="1"/>
  </cols>
  <sheetData>
    <row r="5" spans="1:2" x14ac:dyDescent="0.25">
      <c r="A5" t="s">
        <v>110</v>
      </c>
      <c r="B5" t="s">
        <v>111</v>
      </c>
    </row>
    <row r="6" spans="1:2" x14ac:dyDescent="0.25">
      <c r="A6" t="s">
        <v>119</v>
      </c>
      <c r="B6">
        <v>789</v>
      </c>
    </row>
    <row r="7" spans="1:2" x14ac:dyDescent="0.25">
      <c r="A7" t="s">
        <v>117</v>
      </c>
      <c r="B7">
        <v>456</v>
      </c>
    </row>
    <row r="8" spans="1:2" x14ac:dyDescent="0.25">
      <c r="A8" t="s">
        <v>118</v>
      </c>
      <c r="B8">
        <v>123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EF03-3A2C-44F6-84FF-66033BAA566B}">
  <sheetPr codeName="Hoja2"/>
  <dimension ref="A1:J51"/>
  <sheetViews>
    <sheetView topLeftCell="A3" workbookViewId="0">
      <selection activeCell="C9" sqref="C9"/>
    </sheetView>
  </sheetViews>
  <sheetFormatPr baseColWidth="10" defaultRowHeight="15" x14ac:dyDescent="0.25"/>
  <cols>
    <col min="1" max="1" width="8.42578125" style="1" customWidth="1"/>
    <col min="2" max="2" width="11.42578125" style="1"/>
    <col min="3" max="3" width="25.7109375" style="1" customWidth="1"/>
    <col min="4" max="4" width="19.7109375" style="1" customWidth="1"/>
    <col min="5" max="5" width="9.42578125" style="1" customWidth="1"/>
    <col min="6" max="6" width="11.42578125" style="1"/>
    <col min="7" max="7" width="15.28515625" style="1" customWidth="1"/>
    <col min="8" max="8" width="16" style="1" customWidth="1"/>
    <col min="9" max="16384" width="11.42578125" style="1"/>
  </cols>
  <sheetData>
    <row r="1" spans="1:10" hidden="1" x14ac:dyDescent="0.25"/>
    <row r="2" spans="1:10" hidden="1" x14ac:dyDescent="0.25">
      <c r="A2" s="2">
        <f>MAX(DB_PROD[id])+1</f>
        <v>49</v>
      </c>
      <c r="B2" s="3"/>
    </row>
    <row r="3" spans="1:10" ht="27" customHeight="1" x14ac:dyDescent="0.25">
      <c r="A3" t="s">
        <v>5</v>
      </c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80</v>
      </c>
      <c r="H3" t="s">
        <v>81</v>
      </c>
    </row>
    <row r="4" spans="1:10" x14ac:dyDescent="0.25">
      <c r="A4" s="12">
        <v>48</v>
      </c>
      <c r="B4" t="s">
        <v>109</v>
      </c>
      <c r="C4" t="s">
        <v>109</v>
      </c>
      <c r="D4" t="s">
        <v>105</v>
      </c>
      <c r="E4" t="s">
        <v>106</v>
      </c>
      <c r="F4">
        <v>1</v>
      </c>
      <c r="G4" s="6">
        <v>44950</v>
      </c>
      <c r="H4" s="6">
        <v>44957</v>
      </c>
    </row>
    <row r="5" spans="1:10" x14ac:dyDescent="0.25">
      <c r="A5" s="12">
        <v>47</v>
      </c>
      <c r="B5" t="s">
        <v>107</v>
      </c>
      <c r="C5" t="s">
        <v>108</v>
      </c>
      <c r="D5" t="s">
        <v>105</v>
      </c>
      <c r="E5" t="s">
        <v>106</v>
      </c>
      <c r="F5">
        <v>1</v>
      </c>
      <c r="G5" s="6">
        <v>44950</v>
      </c>
      <c r="H5"/>
    </row>
    <row r="6" spans="1:10" x14ac:dyDescent="0.25">
      <c r="A6" s="12">
        <v>46</v>
      </c>
      <c r="B6" t="s">
        <v>103</v>
      </c>
      <c r="C6" t="s">
        <v>104</v>
      </c>
      <c r="D6" t="s">
        <v>105</v>
      </c>
      <c r="E6" t="s">
        <v>106</v>
      </c>
      <c r="F6">
        <v>1</v>
      </c>
      <c r="G6" s="6">
        <v>44950</v>
      </c>
      <c r="H6"/>
    </row>
    <row r="7" spans="1:10" x14ac:dyDescent="0.25">
      <c r="A7" s="12">
        <v>45</v>
      </c>
      <c r="B7" t="s">
        <v>86</v>
      </c>
      <c r="C7" t="s">
        <v>95</v>
      </c>
      <c r="D7" t="s">
        <v>8</v>
      </c>
      <c r="E7" t="s">
        <v>9</v>
      </c>
      <c r="F7" s="5">
        <v>233.5</v>
      </c>
      <c r="G7" s="6">
        <v>44950</v>
      </c>
      <c r="H7"/>
    </row>
    <row r="8" spans="1:10" x14ac:dyDescent="0.25">
      <c r="A8" s="12">
        <v>44</v>
      </c>
      <c r="B8" t="s">
        <v>87</v>
      </c>
      <c r="C8" t="s">
        <v>96</v>
      </c>
      <c r="D8" t="s">
        <v>8</v>
      </c>
      <c r="E8" t="s">
        <v>9</v>
      </c>
      <c r="F8" s="5">
        <v>233.5</v>
      </c>
      <c r="G8" s="6">
        <v>44950</v>
      </c>
      <c r="H8"/>
    </row>
    <row r="9" spans="1:10" x14ac:dyDescent="0.25">
      <c r="A9" s="12">
        <v>43</v>
      </c>
      <c r="B9" t="s">
        <v>88</v>
      </c>
      <c r="C9" t="s">
        <v>97</v>
      </c>
      <c r="D9" t="s">
        <v>8</v>
      </c>
      <c r="E9" t="s">
        <v>9</v>
      </c>
      <c r="F9" s="5">
        <v>233.5</v>
      </c>
      <c r="G9" s="6">
        <v>44950</v>
      </c>
      <c r="H9"/>
    </row>
    <row r="10" spans="1:10" x14ac:dyDescent="0.25">
      <c r="A10" s="12">
        <v>42</v>
      </c>
      <c r="B10" t="s">
        <v>89</v>
      </c>
      <c r="C10" t="s">
        <v>98</v>
      </c>
      <c r="D10" t="s">
        <v>8</v>
      </c>
      <c r="E10" t="s">
        <v>9</v>
      </c>
      <c r="F10" s="5">
        <v>100000</v>
      </c>
      <c r="G10" s="6">
        <v>44950</v>
      </c>
      <c r="H10" s="6">
        <v>44951</v>
      </c>
    </row>
    <row r="11" spans="1:10" x14ac:dyDescent="0.25">
      <c r="A11" s="12">
        <v>41</v>
      </c>
      <c r="B11" t="s">
        <v>90</v>
      </c>
      <c r="C11" t="s">
        <v>99</v>
      </c>
      <c r="D11" t="s">
        <v>8</v>
      </c>
      <c r="E11" t="s">
        <v>9</v>
      </c>
      <c r="F11" s="5">
        <v>223.1</v>
      </c>
      <c r="G11" s="6">
        <v>44950</v>
      </c>
      <c r="H11"/>
    </row>
    <row r="12" spans="1:10" x14ac:dyDescent="0.25">
      <c r="A12" s="12">
        <v>40</v>
      </c>
      <c r="B12" t="s">
        <v>91</v>
      </c>
      <c r="C12" t="s">
        <v>100</v>
      </c>
      <c r="D12" t="s">
        <v>8</v>
      </c>
      <c r="E12" t="s">
        <v>9</v>
      </c>
      <c r="F12" s="5">
        <v>100000</v>
      </c>
      <c r="G12" s="6">
        <v>44950</v>
      </c>
      <c r="H12" s="6">
        <v>44951</v>
      </c>
    </row>
    <row r="13" spans="1:10" x14ac:dyDescent="0.25">
      <c r="A13" s="12">
        <v>39</v>
      </c>
      <c r="B13" t="s">
        <v>92</v>
      </c>
      <c r="C13" t="s">
        <v>101</v>
      </c>
      <c r="D13" t="s">
        <v>8</v>
      </c>
      <c r="E13" t="s">
        <v>9</v>
      </c>
      <c r="F13" s="5">
        <v>203.08</v>
      </c>
      <c r="G13" s="6">
        <v>44950</v>
      </c>
      <c r="H13"/>
    </row>
    <row r="14" spans="1:10" x14ac:dyDescent="0.25">
      <c r="A14" s="12">
        <v>38</v>
      </c>
      <c r="B14" t="s">
        <v>93</v>
      </c>
      <c r="C14" t="s">
        <v>93</v>
      </c>
      <c r="D14" t="s">
        <v>8</v>
      </c>
      <c r="E14" t="s">
        <v>9</v>
      </c>
      <c r="F14" s="5">
        <v>226.6</v>
      </c>
      <c r="G14" s="6">
        <v>44950</v>
      </c>
      <c r="H14"/>
    </row>
    <row r="15" spans="1:10" x14ac:dyDescent="0.25">
      <c r="A15" s="12">
        <v>37</v>
      </c>
      <c r="B15" t="s">
        <v>94</v>
      </c>
      <c r="C15" t="s">
        <v>102</v>
      </c>
      <c r="D15" t="s">
        <v>8</v>
      </c>
      <c r="E15" t="s">
        <v>9</v>
      </c>
      <c r="F15" s="5">
        <v>203.08</v>
      </c>
      <c r="G15" s="6">
        <v>44950</v>
      </c>
      <c r="H15"/>
      <c r="J15" s="21"/>
    </row>
    <row r="16" spans="1:10" x14ac:dyDescent="0.25">
      <c r="A16" s="12">
        <v>36</v>
      </c>
      <c r="B16" t="s">
        <v>84</v>
      </c>
      <c r="C16" t="s">
        <v>85</v>
      </c>
      <c r="D16" t="s">
        <v>8</v>
      </c>
      <c r="E16" t="s">
        <v>9</v>
      </c>
      <c r="F16">
        <v>248.3</v>
      </c>
      <c r="G16" s="6">
        <v>44950</v>
      </c>
      <c r="H16" s="6">
        <v>44950</v>
      </c>
    </row>
    <row r="17" spans="1:8" x14ac:dyDescent="0.25">
      <c r="A17" s="12">
        <v>35</v>
      </c>
      <c r="B17" t="s">
        <v>78</v>
      </c>
      <c r="C17" t="s">
        <v>78</v>
      </c>
      <c r="D17" t="s">
        <v>79</v>
      </c>
      <c r="E17" t="s">
        <v>82</v>
      </c>
      <c r="F17">
        <v>1</v>
      </c>
      <c r="G17" s="6">
        <v>44942</v>
      </c>
      <c r="H17" s="6">
        <v>44942</v>
      </c>
    </row>
    <row r="18" spans="1:8" x14ac:dyDescent="0.25">
      <c r="A18" s="12">
        <v>34</v>
      </c>
      <c r="B18" t="s">
        <v>83</v>
      </c>
      <c r="C18" t="s">
        <v>59</v>
      </c>
      <c r="D18" t="s">
        <v>71</v>
      </c>
      <c r="E18" t="s">
        <v>9</v>
      </c>
      <c r="F18">
        <v>1</v>
      </c>
      <c r="G18" s="6">
        <v>44942</v>
      </c>
      <c r="H18" s="6">
        <v>44943</v>
      </c>
    </row>
    <row r="19" spans="1:8" x14ac:dyDescent="0.25">
      <c r="A19" s="12">
        <v>33</v>
      </c>
      <c r="B19" t="s">
        <v>45</v>
      </c>
      <c r="C19" t="s">
        <v>60</v>
      </c>
      <c r="D19" t="s">
        <v>71</v>
      </c>
      <c r="E19" t="s">
        <v>9</v>
      </c>
      <c r="F19">
        <v>1</v>
      </c>
      <c r="G19" s="6">
        <v>44942</v>
      </c>
      <c r="H19"/>
    </row>
    <row r="20" spans="1:8" x14ac:dyDescent="0.25">
      <c r="A20" s="12">
        <v>32</v>
      </c>
      <c r="B20" t="s">
        <v>46</v>
      </c>
      <c r="C20" t="s">
        <v>61</v>
      </c>
      <c r="D20" t="s">
        <v>71</v>
      </c>
      <c r="E20" t="s">
        <v>9</v>
      </c>
      <c r="F20">
        <v>1</v>
      </c>
      <c r="G20" s="6">
        <v>44942</v>
      </c>
      <c r="H20"/>
    </row>
    <row r="21" spans="1:8" x14ac:dyDescent="0.25">
      <c r="A21" s="12">
        <v>31</v>
      </c>
      <c r="B21" t="s">
        <v>47</v>
      </c>
      <c r="C21" t="s">
        <v>62</v>
      </c>
      <c r="D21" t="s">
        <v>71</v>
      </c>
      <c r="E21" t="s">
        <v>9</v>
      </c>
      <c r="F21">
        <v>1</v>
      </c>
      <c r="G21" s="6">
        <v>44942</v>
      </c>
      <c r="H21"/>
    </row>
    <row r="22" spans="1:8" x14ac:dyDescent="0.25">
      <c r="A22" s="12">
        <v>30</v>
      </c>
      <c r="B22" t="s">
        <v>48</v>
      </c>
      <c r="C22" t="s">
        <v>63</v>
      </c>
      <c r="D22" t="s">
        <v>71</v>
      </c>
      <c r="E22" t="s">
        <v>9</v>
      </c>
      <c r="F22">
        <v>1</v>
      </c>
      <c r="G22" s="6">
        <v>44942</v>
      </c>
      <c r="H22"/>
    </row>
    <row r="23" spans="1:8" x14ac:dyDescent="0.25">
      <c r="A23" s="12">
        <v>29</v>
      </c>
      <c r="B23" t="s">
        <v>49</v>
      </c>
      <c r="C23" t="s">
        <v>49</v>
      </c>
      <c r="D23" t="s">
        <v>71</v>
      </c>
      <c r="E23" t="s">
        <v>9</v>
      </c>
      <c r="F23">
        <v>1</v>
      </c>
      <c r="G23" s="6">
        <v>44942</v>
      </c>
      <c r="H23"/>
    </row>
    <row r="24" spans="1:8" x14ac:dyDescent="0.25">
      <c r="A24" s="12">
        <v>28</v>
      </c>
      <c r="B24" t="s">
        <v>50</v>
      </c>
      <c r="C24" t="s">
        <v>64</v>
      </c>
      <c r="D24" t="s">
        <v>71</v>
      </c>
      <c r="E24" t="s">
        <v>9</v>
      </c>
      <c r="F24">
        <v>1</v>
      </c>
      <c r="G24" s="6">
        <v>44942</v>
      </c>
      <c r="H24"/>
    </row>
    <row r="25" spans="1:8" x14ac:dyDescent="0.25">
      <c r="A25" s="12">
        <v>27</v>
      </c>
      <c r="B25" t="s">
        <v>51</v>
      </c>
      <c r="C25" t="s">
        <v>65</v>
      </c>
      <c r="D25" t="s">
        <v>71</v>
      </c>
      <c r="E25" t="s">
        <v>9</v>
      </c>
      <c r="F25">
        <v>1</v>
      </c>
      <c r="G25" s="6">
        <v>44942</v>
      </c>
      <c r="H25"/>
    </row>
    <row r="26" spans="1:8" x14ac:dyDescent="0.25">
      <c r="A26" s="12">
        <v>26</v>
      </c>
      <c r="B26" t="s">
        <v>52</v>
      </c>
      <c r="C26" t="s">
        <v>66</v>
      </c>
      <c r="D26" t="s">
        <v>71</v>
      </c>
      <c r="E26" t="s">
        <v>9</v>
      </c>
      <c r="F26">
        <v>1</v>
      </c>
      <c r="G26" s="6">
        <v>44942</v>
      </c>
      <c r="H26"/>
    </row>
    <row r="27" spans="1:8" x14ac:dyDescent="0.25">
      <c r="A27" s="12">
        <v>25</v>
      </c>
      <c r="B27" t="s">
        <v>53</v>
      </c>
      <c r="C27" t="s">
        <v>67</v>
      </c>
      <c r="D27" t="s">
        <v>71</v>
      </c>
      <c r="E27" t="s">
        <v>9</v>
      </c>
      <c r="F27">
        <v>1</v>
      </c>
      <c r="G27" s="6">
        <v>44942</v>
      </c>
      <c r="H27"/>
    </row>
    <row r="28" spans="1:8" x14ac:dyDescent="0.25">
      <c r="A28" s="12">
        <v>24</v>
      </c>
      <c r="B28" t="s">
        <v>54</v>
      </c>
      <c r="C28" t="s">
        <v>68</v>
      </c>
      <c r="D28" t="s">
        <v>71</v>
      </c>
      <c r="E28" t="s">
        <v>9</v>
      </c>
      <c r="F28">
        <v>1</v>
      </c>
      <c r="G28" s="6">
        <v>44942</v>
      </c>
      <c r="H28"/>
    </row>
    <row r="29" spans="1:8" x14ac:dyDescent="0.25">
      <c r="A29" s="12">
        <v>23</v>
      </c>
      <c r="B29" t="s">
        <v>55</v>
      </c>
      <c r="C29" t="s">
        <v>55</v>
      </c>
      <c r="D29" t="s">
        <v>71</v>
      </c>
      <c r="E29" t="s">
        <v>9</v>
      </c>
      <c r="F29">
        <v>1</v>
      </c>
      <c r="G29" s="6">
        <v>44942</v>
      </c>
      <c r="H29"/>
    </row>
    <row r="30" spans="1:8" x14ac:dyDescent="0.25">
      <c r="A30" s="12">
        <v>22</v>
      </c>
      <c r="B30" t="s">
        <v>56</v>
      </c>
      <c r="C30" t="s">
        <v>69</v>
      </c>
      <c r="D30" t="s">
        <v>71</v>
      </c>
      <c r="E30" t="s">
        <v>9</v>
      </c>
      <c r="F30" s="4">
        <v>1</v>
      </c>
      <c r="G30" s="6">
        <v>44942</v>
      </c>
      <c r="H30"/>
    </row>
    <row r="31" spans="1:8" x14ac:dyDescent="0.25">
      <c r="A31" s="12">
        <v>21</v>
      </c>
      <c r="B31" t="s">
        <v>57</v>
      </c>
      <c r="C31" t="s">
        <v>57</v>
      </c>
      <c r="D31" t="s">
        <v>71</v>
      </c>
      <c r="E31" t="s">
        <v>9</v>
      </c>
      <c r="F31">
        <v>1</v>
      </c>
      <c r="G31" s="6">
        <v>44942</v>
      </c>
      <c r="H31"/>
    </row>
    <row r="32" spans="1:8" x14ac:dyDescent="0.25">
      <c r="A32" s="12">
        <v>20</v>
      </c>
      <c r="B32" t="s">
        <v>58</v>
      </c>
      <c r="C32" t="s">
        <v>70</v>
      </c>
      <c r="D32" t="s">
        <v>71</v>
      </c>
      <c r="E32" t="s">
        <v>9</v>
      </c>
      <c r="F32">
        <v>1</v>
      </c>
      <c r="G32" s="6">
        <v>44942</v>
      </c>
      <c r="H32"/>
    </row>
    <row r="33" spans="1:8" x14ac:dyDescent="0.25">
      <c r="A33" s="12">
        <v>19</v>
      </c>
      <c r="B33" t="s">
        <v>30</v>
      </c>
      <c r="C33" t="s">
        <v>31</v>
      </c>
      <c r="D33" t="s">
        <v>8</v>
      </c>
      <c r="E33" t="s">
        <v>9</v>
      </c>
      <c r="F33" s="5">
        <v>245.25555550000001</v>
      </c>
      <c r="G33" s="6">
        <v>44942</v>
      </c>
      <c r="H33"/>
    </row>
    <row r="34" spans="1:8" x14ac:dyDescent="0.25">
      <c r="A34" s="12">
        <v>18</v>
      </c>
      <c r="B34" t="s">
        <v>29</v>
      </c>
      <c r="C34" t="s">
        <v>32</v>
      </c>
      <c r="D34" t="s">
        <v>8</v>
      </c>
      <c r="E34" t="s">
        <v>9</v>
      </c>
      <c r="F34" s="5">
        <v>237.3</v>
      </c>
      <c r="G34" s="6">
        <v>44942</v>
      </c>
      <c r="H34"/>
    </row>
    <row r="35" spans="1:8" x14ac:dyDescent="0.25">
      <c r="A35" s="12">
        <v>17</v>
      </c>
      <c r="B35" t="s">
        <v>28</v>
      </c>
      <c r="C35" t="s">
        <v>33</v>
      </c>
      <c r="D35" t="s">
        <v>8</v>
      </c>
      <c r="E35" t="s">
        <v>9</v>
      </c>
      <c r="F35" s="5">
        <v>224.9</v>
      </c>
      <c r="G35" s="6">
        <v>44942</v>
      </c>
      <c r="H35"/>
    </row>
    <row r="36" spans="1:8" x14ac:dyDescent="0.25">
      <c r="A36" s="12">
        <v>16</v>
      </c>
      <c r="B36" t="s">
        <v>27</v>
      </c>
      <c r="C36" t="s">
        <v>27</v>
      </c>
      <c r="D36" t="s">
        <v>8</v>
      </c>
      <c r="E36" t="s">
        <v>9</v>
      </c>
      <c r="F36" s="5">
        <v>224.9</v>
      </c>
      <c r="G36" s="6">
        <v>44942</v>
      </c>
      <c r="H36"/>
    </row>
    <row r="37" spans="1:8" x14ac:dyDescent="0.25">
      <c r="A37" s="12">
        <v>15</v>
      </c>
      <c r="B37" t="s">
        <v>26</v>
      </c>
      <c r="C37" t="s">
        <v>34</v>
      </c>
      <c r="D37" t="s">
        <v>8</v>
      </c>
      <c r="E37" t="s">
        <v>9</v>
      </c>
      <c r="F37" s="5">
        <v>224.9</v>
      </c>
      <c r="G37" s="6">
        <v>44942</v>
      </c>
      <c r="H37"/>
    </row>
    <row r="38" spans="1:8" x14ac:dyDescent="0.25">
      <c r="A38" s="12">
        <v>14</v>
      </c>
      <c r="B38" t="s">
        <v>25</v>
      </c>
      <c r="C38" t="s">
        <v>35</v>
      </c>
      <c r="D38" t="s">
        <v>8</v>
      </c>
      <c r="E38" t="s">
        <v>9</v>
      </c>
      <c r="F38" s="5">
        <v>220.3</v>
      </c>
      <c r="G38" s="6">
        <v>44942</v>
      </c>
      <c r="H38"/>
    </row>
    <row r="39" spans="1:8" x14ac:dyDescent="0.25">
      <c r="A39" s="12">
        <v>13</v>
      </c>
      <c r="B39" t="s">
        <v>24</v>
      </c>
      <c r="C39" t="s">
        <v>36</v>
      </c>
      <c r="D39" t="s">
        <v>8</v>
      </c>
      <c r="E39" t="s">
        <v>9</v>
      </c>
      <c r="F39" s="5">
        <v>203.97</v>
      </c>
      <c r="G39" s="6">
        <v>44942</v>
      </c>
      <c r="H39"/>
    </row>
    <row r="40" spans="1:8" x14ac:dyDescent="0.25">
      <c r="A40" s="12">
        <v>12</v>
      </c>
      <c r="B40" t="s">
        <v>23</v>
      </c>
      <c r="C40" t="s">
        <v>41</v>
      </c>
      <c r="D40" t="s">
        <v>8</v>
      </c>
      <c r="E40" t="s">
        <v>9</v>
      </c>
      <c r="F40" s="5">
        <v>250.1</v>
      </c>
      <c r="G40" s="6">
        <v>44942</v>
      </c>
      <c r="H40"/>
    </row>
    <row r="41" spans="1:8" x14ac:dyDescent="0.25">
      <c r="A41" s="12">
        <v>11</v>
      </c>
      <c r="B41" t="s">
        <v>22</v>
      </c>
      <c r="C41" t="s">
        <v>37</v>
      </c>
      <c r="D41" t="s">
        <v>8</v>
      </c>
      <c r="E41" t="s">
        <v>9</v>
      </c>
      <c r="F41" s="5">
        <v>268.35000000000002</v>
      </c>
      <c r="G41" s="6">
        <v>44942</v>
      </c>
      <c r="H41"/>
    </row>
    <row r="42" spans="1:8" x14ac:dyDescent="0.25">
      <c r="A42" s="12">
        <v>10</v>
      </c>
      <c r="B42" t="s">
        <v>21</v>
      </c>
      <c r="C42" t="s">
        <v>38</v>
      </c>
      <c r="D42" t="s">
        <v>8</v>
      </c>
      <c r="E42" t="s">
        <v>9</v>
      </c>
      <c r="F42" s="5">
        <v>308.89999999999998</v>
      </c>
      <c r="G42" s="6">
        <v>44942</v>
      </c>
      <c r="H42"/>
    </row>
    <row r="43" spans="1:8" x14ac:dyDescent="0.25">
      <c r="A43" s="12">
        <v>9</v>
      </c>
      <c r="B43" t="s">
        <v>20</v>
      </c>
      <c r="C43" t="s">
        <v>42</v>
      </c>
      <c r="D43" t="s">
        <v>8</v>
      </c>
      <c r="E43" t="s">
        <v>9</v>
      </c>
      <c r="F43" s="5">
        <v>254.48</v>
      </c>
      <c r="G43" s="6">
        <v>44942</v>
      </c>
      <c r="H43"/>
    </row>
    <row r="44" spans="1:8" x14ac:dyDescent="0.25">
      <c r="A44" s="12">
        <v>8</v>
      </c>
      <c r="B44" t="s">
        <v>19</v>
      </c>
      <c r="C44" t="s">
        <v>43</v>
      </c>
      <c r="D44" t="s">
        <v>8</v>
      </c>
      <c r="E44" t="s">
        <v>9</v>
      </c>
      <c r="F44" s="5">
        <v>221.21</v>
      </c>
      <c r="G44" s="6">
        <v>44942</v>
      </c>
      <c r="H44"/>
    </row>
    <row r="45" spans="1:8" x14ac:dyDescent="0.25">
      <c r="A45" s="12">
        <v>7</v>
      </c>
      <c r="B45" t="s">
        <v>18</v>
      </c>
      <c r="C45" t="s">
        <v>44</v>
      </c>
      <c r="D45" t="s">
        <v>8</v>
      </c>
      <c r="E45" t="s">
        <v>9</v>
      </c>
      <c r="F45" s="5">
        <v>237.6</v>
      </c>
      <c r="G45" s="6">
        <v>44942</v>
      </c>
      <c r="H45"/>
    </row>
    <row r="46" spans="1:8" x14ac:dyDescent="0.25">
      <c r="A46" s="12">
        <v>6</v>
      </c>
      <c r="B46" t="s">
        <v>17</v>
      </c>
      <c r="C46" t="s">
        <v>39</v>
      </c>
      <c r="D46" t="s">
        <v>8</v>
      </c>
      <c r="E46" t="s">
        <v>9</v>
      </c>
      <c r="F46" s="5">
        <v>224.9</v>
      </c>
      <c r="G46" s="6">
        <v>44942</v>
      </c>
      <c r="H46"/>
    </row>
    <row r="47" spans="1:8" x14ac:dyDescent="0.25">
      <c r="A47" s="12">
        <v>5</v>
      </c>
      <c r="B47" t="s">
        <v>16</v>
      </c>
      <c r="C47" t="s">
        <v>40</v>
      </c>
      <c r="D47" t="s">
        <v>8</v>
      </c>
      <c r="E47" t="s">
        <v>9</v>
      </c>
      <c r="F47" s="5">
        <v>317.35000000000002</v>
      </c>
      <c r="G47" s="6">
        <v>44942</v>
      </c>
      <c r="H47"/>
    </row>
    <row r="48" spans="1:8" x14ac:dyDescent="0.25">
      <c r="A48" s="12">
        <v>4</v>
      </c>
      <c r="B48" t="s">
        <v>14</v>
      </c>
      <c r="C48" t="s">
        <v>15</v>
      </c>
      <c r="D48" t="s">
        <v>8</v>
      </c>
      <c r="E48" t="s">
        <v>9</v>
      </c>
      <c r="F48" s="5">
        <v>189</v>
      </c>
      <c r="G48" s="6">
        <v>44942</v>
      </c>
      <c r="H48"/>
    </row>
    <row r="49" spans="1:8" x14ac:dyDescent="0.25">
      <c r="A49" s="12">
        <v>3</v>
      </c>
      <c r="B49" t="s">
        <v>12</v>
      </c>
      <c r="C49" t="s">
        <v>13</v>
      </c>
      <c r="D49" t="s">
        <v>8</v>
      </c>
      <c r="E49" t="s">
        <v>9</v>
      </c>
      <c r="F49" s="5">
        <v>245.8</v>
      </c>
      <c r="G49" s="6">
        <v>44942</v>
      </c>
      <c r="H49"/>
    </row>
    <row r="50" spans="1:8" x14ac:dyDescent="0.25">
      <c r="A50" s="12">
        <v>2</v>
      </c>
      <c r="B50" t="s">
        <v>10</v>
      </c>
      <c r="C50" t="s">
        <v>11</v>
      </c>
      <c r="D50" t="s">
        <v>8</v>
      </c>
      <c r="E50" t="s">
        <v>9</v>
      </c>
      <c r="F50" s="5">
        <v>276.2</v>
      </c>
      <c r="G50" s="6">
        <v>44942</v>
      </c>
      <c r="H50" s="6">
        <v>44942</v>
      </c>
    </row>
    <row r="51" spans="1:8" x14ac:dyDescent="0.25">
      <c r="A51" s="12">
        <v>1</v>
      </c>
      <c r="B51" t="s">
        <v>6</v>
      </c>
      <c r="C51" t="s">
        <v>7</v>
      </c>
      <c r="D51" t="s">
        <v>8</v>
      </c>
      <c r="E51" t="s">
        <v>9</v>
      </c>
      <c r="F51" s="5">
        <v>249.9</v>
      </c>
      <c r="G51" s="6">
        <v>44942</v>
      </c>
      <c r="H51" s="11">
        <v>44942</v>
      </c>
    </row>
  </sheetData>
  <sheetProtection sheet="1" objects="1" scenarios="1"/>
  <phoneticPr fontId="3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ViewPrint</vt:lpstr>
      <vt:lpstr>New</vt:lpstr>
      <vt:lpstr>Main</vt:lpstr>
      <vt:lpstr>validar_hoja</vt:lpstr>
      <vt:lpstr>ViewPrint!Área_de_impresión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Josue Ventura</dc:creator>
  <cp:lastModifiedBy>Josue Ventura</cp:lastModifiedBy>
  <cp:lastPrinted>2023-01-24T20:54:37Z</cp:lastPrinted>
  <dcterms:created xsi:type="dcterms:W3CDTF">2023-01-12T12:38:16Z</dcterms:created>
  <dcterms:modified xsi:type="dcterms:W3CDTF">2023-02-08T15:27:02Z</dcterms:modified>
</cp:coreProperties>
</file>